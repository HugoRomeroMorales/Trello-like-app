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dr\OneDrive - MSFT\Escritorio\Clases\Desarrollo de interfaces\Trello\"/>
    </mc:Choice>
  </mc:AlternateContent>
  <xr:revisionPtr revIDLastSave="0" documentId="13_ncr:1_{BF5AD817-0BB7-4250-969B-03D5B7696292}" xr6:coauthVersionLast="47" xr6:coauthVersionMax="47" xr10:uidLastSave="{00000000-0000-0000-0000-000000000000}"/>
  <bookViews>
    <workbookView xWindow="-120" yWindow="-120" windowWidth="29040" windowHeight="15720" xr2:uid="{D56EC9F1-4E9C-490E-8E76-1623D405A2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D22" i="1"/>
  <c r="D21" i="1"/>
  <c r="D19" i="1"/>
  <c r="D20" i="1" s="1"/>
  <c r="D3" i="1"/>
  <c r="E3" i="1" s="1"/>
  <c r="G3" i="1" s="1"/>
  <c r="D26" i="1" l="1"/>
  <c r="F26" i="1" s="1"/>
  <c r="D32" i="1" s="1"/>
  <c r="D27" i="1"/>
  <c r="D28" i="1"/>
  <c r="H25" i="1"/>
  <c r="H26" i="1"/>
  <c r="J26" i="1" s="1"/>
  <c r="F32" i="1" s="1"/>
  <c r="H27" i="1"/>
  <c r="H28" i="1"/>
  <c r="D25" i="1"/>
  <c r="F25" i="1" s="1"/>
  <c r="D31" i="1" s="1"/>
  <c r="J28" i="1"/>
  <c r="F34" i="1" s="1"/>
  <c r="F28" i="1"/>
  <c r="D34" i="1" s="1"/>
  <c r="J27" i="1"/>
  <c r="F33" i="1" s="1"/>
  <c r="F27" i="1"/>
  <c r="D33" i="1" s="1"/>
  <c r="J25" i="1"/>
  <c r="F31" i="1" s="1"/>
</calcChain>
</file>

<file path=xl/sharedStrings.xml><?xml version="1.0" encoding="utf-8"?>
<sst xmlns="http://schemas.openxmlformats.org/spreadsheetml/2006/main" count="77" uniqueCount="60">
  <si>
    <t>€/Emplado</t>
  </si>
  <si>
    <t>SS</t>
  </si>
  <si>
    <t xml:space="preserve">Nº de empleados </t>
  </si>
  <si>
    <t>€/Emplado neto</t>
  </si>
  <si>
    <t>Plus excluisvidad</t>
  </si>
  <si>
    <t>Infraestructura</t>
  </si>
  <si>
    <t>Licencias externas</t>
  </si>
  <si>
    <t>Servicios de hosting</t>
  </si>
  <si>
    <t>Costes de contratacion de freelancer</t>
  </si>
  <si>
    <t xml:space="preserve">Equipo y hardware </t>
  </si>
  <si>
    <t>Mantenimiento y soporte</t>
  </si>
  <si>
    <t>Costes de prueba y control de calidad</t>
  </si>
  <si>
    <t>Costes legales</t>
  </si>
  <si>
    <t>Costes administrativos y contables</t>
  </si>
  <si>
    <t>Gastos generales imputables al proyecto</t>
  </si>
  <si>
    <t>Formación de equipo (Curso de IA) 600€</t>
  </si>
  <si>
    <t>TOTAL CON EXCLUSIVIDAD + IA</t>
  </si>
  <si>
    <t>TOTAL SIN EXCLUSIVIDAD + IA</t>
  </si>
  <si>
    <t>TOTAL CON EXCLUSIVIDAD SIN IA</t>
  </si>
  <si>
    <t>TOTAL SIN EXCLU Y SIN IA</t>
  </si>
  <si>
    <t>TOTAL CON EXCLUSIVIDAD + IA  (Costes internos + Coste empleado)</t>
  </si>
  <si>
    <t>TOTAL SIN EXCLUSIVIDAD + IA (Costes internos + Coste empleado)</t>
  </si>
  <si>
    <t>TOTAL CON EXCLUSIVIDAD SIN IA (Costes internos + Coste empleado)</t>
  </si>
  <si>
    <t>TOTAL TOTAL SIN EXCLU Y SIN IA (Costes internos + Coste empleado)</t>
  </si>
  <si>
    <t>Total * 20% ganancias</t>
  </si>
  <si>
    <t>PLAN PRO DE INFRAESTRUCTURA</t>
  </si>
  <si>
    <t>PLAN TEAM DE INFRAESTRUCTURA</t>
  </si>
  <si>
    <t>PRECIO FINAL</t>
  </si>
  <si>
    <t>TOTAL CON EXCLUSIVIDAD + IA (PLAN PRO)</t>
  </si>
  <si>
    <t>TOTAL SIN EXCLUSIVIDAD + IA (PLAN PRO)</t>
  </si>
  <si>
    <t>TOTAL CON EXCLUSIVIDAD SIN IA (PLAN PRO)</t>
  </si>
  <si>
    <t>TOTAL SIN EXCLU Y SIN IA (PLAN PRO)</t>
  </si>
  <si>
    <t>TOTAL CON EXCLUSIVIDAD + IA (PLAN TEAM)</t>
  </si>
  <si>
    <t>TOTAL SIN EXCLUSIVIDAD + IA (PLAN TEAM)</t>
  </si>
  <si>
    <t>TOTAL CON EXCLUSIVIDAD SIN IA (PLAN TEAM)</t>
  </si>
  <si>
    <t>TOTAL SIN EXCLU Y SIN IA (PLAN TEAM)</t>
  </si>
  <si>
    <t>NO</t>
  </si>
  <si>
    <t>PRO</t>
  </si>
  <si>
    <t>TEAM</t>
  </si>
  <si>
    <t>NADA</t>
  </si>
  <si>
    <t xml:space="preserve">LICENCIA PRO </t>
  </si>
  <si>
    <t>LICENCIA TEAM</t>
  </si>
  <si>
    <t>€/Empleado bruto</t>
  </si>
  <si>
    <t>Desarrollo web multiplataforma (PC, móvil, tablet y Smart TV)</t>
  </si>
  <si>
    <t>Aspecto</t>
  </si>
  <si>
    <t>Uso recomendado</t>
  </si>
  <si>
    <t>Producción estándar</t>
  </si>
  <si>
    <t>Producción empresarial</t>
  </si>
  <si>
    <t>Seguridad</t>
  </si>
  <si>
    <t>Básica</t>
  </si>
  <si>
    <t>Avanzada (SSO, auditoría)</t>
  </si>
  <si>
    <t>Backups</t>
  </si>
  <si>
    <t>Limitados</t>
  </si>
  <si>
    <t>Extendidos</t>
  </si>
  <si>
    <t>Soporte</t>
  </si>
  <si>
    <t>Estándar</t>
  </si>
  <si>
    <t>Prioritario</t>
  </si>
  <si>
    <t>Coste</t>
  </si>
  <si>
    <t>Bajo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</si>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</sst>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_-* #,##0.00\ [$€-C0A]_-;\-* #,##0.00\ [$€-C0A]_-;_-* &quot;-&quot;??\ [$€-C0A]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5" fontId="4" fillId="0" borderId="1" xfId="0" applyNumberFormat="1" applyFont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0" xfId="0" applyFont="1" applyFill="1"/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164" fontId="0" fillId="9" borderId="1" xfId="2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4" fontId="2" fillId="9" borderId="1" xfId="1" applyFont="1" applyFill="1" applyBorder="1"/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1" xfId="0" applyFont="1" applyFill="1" applyBorder="1"/>
    <xf numFmtId="0" fontId="0" fillId="2" borderId="2" xfId="0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0" fontId="0" fillId="0" borderId="1" xfId="0" applyBorder="1"/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14" borderId="1" xfId="0" applyNumberForma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2667000</xdr:colOff>
      <xdr:row>14</xdr:row>
      <xdr:rowOff>7327</xdr:rowOff>
    </xdr:from>
    <xdr:ext cx="3619500" cy="78124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1D9B847-6FB0-7B1A-843C-A3BAA9F02780}"/>
            </a:ext>
          </a:extLst>
        </xdr:cNvPr>
        <xdr:cNvSpPr txBox="1"/>
      </xdr:nvSpPr>
      <xdr:spPr>
        <a:xfrm>
          <a:off x="13408269" y="2674327"/>
          <a:ext cx="3619500" cy="78124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/>
            <a:t>Este coste corresponde al desarrollo web multiplataforma, incluyendo diseño responsive avanzado, adaptación a pantallas de gran formato y pruebas en distintos dispositivos, requerido explícitamente por el cliente.</a:t>
          </a:r>
          <a:endParaRPr lang="es-ES" sz="1100"/>
        </a:p>
      </xdr:txBody>
    </xdr:sp>
    <xdr:clientData/>
  </xdr:oneCellAnchor>
  <xdr:twoCellAnchor>
    <xdr:from>
      <xdr:col>5</xdr:col>
      <xdr:colOff>1106365</xdr:colOff>
      <xdr:row>16</xdr:row>
      <xdr:rowOff>16947</xdr:rowOff>
    </xdr:from>
    <xdr:to>
      <xdr:col>6</xdr:col>
      <xdr:colOff>2667000</xdr:colOff>
      <xdr:row>17</xdr:row>
      <xdr:rowOff>109904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8C41ADC-F14F-7E35-9504-8DDDDB41CB1B}"/>
            </a:ext>
          </a:extLst>
        </xdr:cNvPr>
        <xdr:cNvCxnSpPr>
          <a:endCxn id="2" idx="1"/>
        </xdr:cNvCxnSpPr>
      </xdr:nvCxnSpPr>
      <xdr:spPr>
        <a:xfrm flipV="1">
          <a:off x="10733942" y="3064947"/>
          <a:ext cx="2674327" cy="2834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2645019</xdr:colOff>
      <xdr:row>7</xdr:row>
      <xdr:rowOff>29307</xdr:rowOff>
    </xdr:from>
    <xdr:ext cx="3619500" cy="78124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C4496C7-F2C0-4771-B785-D981DEFCA2E8}"/>
            </a:ext>
          </a:extLst>
        </xdr:cNvPr>
        <xdr:cNvSpPr txBox="1"/>
      </xdr:nvSpPr>
      <xdr:spPr>
        <a:xfrm>
          <a:off x="13386288" y="1362807"/>
          <a:ext cx="3619500" cy="78124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b="1"/>
            <a:t>Licencias externas y Formació</a:t>
          </a:r>
          <a:r>
            <a:rPr lang="es-ES" b="1" baseline="0"/>
            <a:t>n de equipo</a:t>
          </a:r>
          <a:r>
            <a:rPr lang="es-ES" b="1"/>
            <a:t>:</a:t>
          </a:r>
          <a:r>
            <a:rPr lang="es-ES"/>
            <a:t> coste derivado del uso de servicios de inteligencia artificial mediante APIs externas y de la formación especializada del equipo para su correcta integración y mantenimiento dentro de la aplicación.</a:t>
          </a:r>
        </a:p>
      </xdr:txBody>
    </xdr:sp>
    <xdr:clientData/>
  </xdr:oneCellAnchor>
  <xdr:twoCellAnchor>
    <xdr:from>
      <xdr:col>6</xdr:col>
      <xdr:colOff>7327</xdr:colOff>
      <xdr:row>7</xdr:row>
      <xdr:rowOff>107611</xdr:rowOff>
    </xdr:from>
    <xdr:to>
      <xdr:col>6</xdr:col>
      <xdr:colOff>2645019</xdr:colOff>
      <xdr:row>9</xdr:row>
      <xdr:rowOff>38927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DDA7E965-9194-40C8-B4B3-3AD142159122}"/>
            </a:ext>
          </a:extLst>
        </xdr:cNvPr>
        <xdr:cNvCxnSpPr>
          <a:endCxn id="7" idx="1"/>
        </xdr:cNvCxnSpPr>
      </xdr:nvCxnSpPr>
      <xdr:spPr>
        <a:xfrm>
          <a:off x="10748596" y="1441111"/>
          <a:ext cx="2637692" cy="3123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7327</xdr:colOff>
      <xdr:row>9</xdr:row>
      <xdr:rowOff>38927</xdr:rowOff>
    </xdr:from>
    <xdr:to>
      <xdr:col>6</xdr:col>
      <xdr:colOff>2645019</xdr:colOff>
      <xdr:row>13</xdr:row>
      <xdr:rowOff>87923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E6D6FAF9-4832-47FA-AF85-8AAA81686FA0}"/>
            </a:ext>
          </a:extLst>
        </xdr:cNvPr>
        <xdr:cNvCxnSpPr>
          <a:endCxn id="7" idx="1"/>
        </xdr:cNvCxnSpPr>
      </xdr:nvCxnSpPr>
      <xdr:spPr>
        <a:xfrm flipV="1">
          <a:off x="10748596" y="1753427"/>
          <a:ext cx="2637692" cy="8109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70589</xdr:colOff>
      <xdr:row>30</xdr:row>
      <xdr:rowOff>10007</xdr:rowOff>
    </xdr:from>
    <xdr:ext cx="3729404" cy="2503506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EF00096D-6CE9-4F2B-BF60-B37E480DBD7B}"/>
            </a:ext>
          </a:extLst>
        </xdr:cNvPr>
        <xdr:cNvSpPr txBox="1"/>
      </xdr:nvSpPr>
      <xdr:spPr>
        <a:xfrm>
          <a:off x="10817577" y="5725007"/>
          <a:ext cx="3729404" cy="250350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b="1"/>
            <a:t>Licencia PRO: </a:t>
          </a:r>
          <a:r>
            <a:rPr lang="es-ES" sz="1100" b="1" baseline="0"/>
            <a:t> </a:t>
          </a:r>
          <a:r>
            <a:rPr lang="es-ES" sz="1100" b="0" baseline="0"/>
            <a:t>La licencia PRO está orientada a entornos de producción de tamaño medio, permitiendo el despliegue estable de la aplicación web con soporte para múltiples usuarios y acceso desde distintos dispositivos.</a:t>
          </a:r>
        </a:p>
        <a:p>
          <a:r>
            <a:rPr lang="es-ES" sz="1100" b="1" baseline="0"/>
            <a:t>Incluye: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Capacidad suficiente para un número elevado de usuarios activos mensuales. (100.000 usuarios activos al mes)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Almacenamiento de base de datos y ficheros adecuado para el uso normal de la aplicación.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Transferencia de datos optimizada para acceso web desde ordenador, móvil y tablet.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Copias de seguridad automáticas diarias con retención limitada.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Soporte técnico básico por correo electrónico.</a:t>
          </a:r>
        </a:p>
      </xdr:txBody>
    </xdr:sp>
    <xdr:clientData/>
  </xdr:oneCellAnchor>
  <xdr:oneCellAnchor>
    <xdr:from>
      <xdr:col>6</xdr:col>
      <xdr:colOff>3831980</xdr:colOff>
      <xdr:row>30</xdr:row>
      <xdr:rowOff>7327</xdr:rowOff>
    </xdr:from>
    <xdr:ext cx="3729404" cy="2159053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BD50E2A-AE06-4359-947C-48EBB5A6B775}"/>
            </a:ext>
          </a:extLst>
        </xdr:cNvPr>
        <xdr:cNvSpPr txBox="1"/>
      </xdr:nvSpPr>
      <xdr:spPr>
        <a:xfrm>
          <a:off x="14573249" y="5722327"/>
          <a:ext cx="3729404" cy="215905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b="1"/>
            <a:t>Licencia TEAM: </a:t>
          </a:r>
          <a:r>
            <a:rPr lang="es-ES" sz="1100" b="1" baseline="0"/>
            <a:t> </a:t>
          </a:r>
          <a:r>
            <a:rPr lang="es-ES" sz="1100" b="0" baseline="0"/>
            <a:t>La licencia TEAM está orientada a un entorno de producción más exigente, pensado para aplicaciones con mayores requisitos de seguridad, control y disponibilidad, especialmente en contextos empresariales.</a:t>
          </a:r>
        </a:p>
        <a:p>
          <a:r>
            <a:rPr lang="es-ES" sz="1100" b="1" baseline="0"/>
            <a:t>Incluye, además de lo ofrecido en la licencia PRO: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Copias de seguridad diarias con mayor periodo de retención.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Control avanzado de accesos y permisos (SSO).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Mayor capacidad de auditoría y registro de actividad.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Prioridad en soporte técnico y acuerdos de nivel de servicio (SLA).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ES" sz="1100" b="0" baseline="0"/>
            <a:t>Cumplimiento de estándares y certificaciones de seguridad.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s-ES" sz="1100" b="0" baseline="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ABE1-AACB-4C47-8552-08440E30DEC7}">
  <dimension ref="C1:M41"/>
  <sheetViews>
    <sheetView tabSelected="1" topLeftCell="C13" zoomScale="318" zoomScaleNormal="100" workbookViewId="0">
      <selection activeCell="D32" sqref="D32"/>
    </sheetView>
  </sheetViews>
  <sheetFormatPr baseColWidth="10" defaultRowHeight="15" x14ac:dyDescent="0.25"/>
  <cols>
    <col min="3" max="3" width="62" bestFit="1" customWidth="1"/>
    <col min="4" max="4" width="17" customWidth="1"/>
    <col min="5" max="5" width="42.5703125" bestFit="1" customWidth="1"/>
    <col min="6" max="6" width="16.7109375" bestFit="1" customWidth="1"/>
    <col min="7" max="7" width="65.28515625" bestFit="1" customWidth="1"/>
    <col min="8" max="8" width="12.7109375" bestFit="1" customWidth="1"/>
    <col min="9" max="9" width="20.28515625" bestFit="1" customWidth="1"/>
    <col min="10" max="10" width="12.7109375" bestFit="1" customWidth="1"/>
  </cols>
  <sheetData>
    <row r="1" spans="3:13" x14ac:dyDescent="0.25">
      <c r="H1" s="1"/>
      <c r="I1" s="1"/>
      <c r="J1" s="1"/>
      <c r="K1" s="1"/>
      <c r="L1" s="1"/>
      <c r="M1" s="1"/>
    </row>
    <row r="2" spans="3:13" x14ac:dyDescent="0.25">
      <c r="C2" s="18" t="s">
        <v>3</v>
      </c>
      <c r="D2" s="18" t="s">
        <v>1</v>
      </c>
      <c r="E2" s="18" t="s">
        <v>42</v>
      </c>
      <c r="F2" s="18" t="s">
        <v>2</v>
      </c>
      <c r="G2" s="19" t="s">
        <v>0</v>
      </c>
      <c r="H2" s="1"/>
      <c r="I2" s="1"/>
      <c r="J2" s="1"/>
      <c r="K2" s="1"/>
      <c r="L2" s="1"/>
      <c r="M2" s="1"/>
    </row>
    <row r="3" spans="3:13" x14ac:dyDescent="0.25">
      <c r="C3" s="20">
        <v>1800</v>
      </c>
      <c r="D3" s="21">
        <f>1+(0.3)</f>
        <v>1.3</v>
      </c>
      <c r="E3" s="20">
        <f>C3*D3</f>
        <v>2340</v>
      </c>
      <c r="F3" s="22">
        <v>3</v>
      </c>
      <c r="G3" s="23">
        <f>E3*F3</f>
        <v>7020</v>
      </c>
      <c r="H3" s="2"/>
      <c r="I3" s="2"/>
      <c r="J3" s="2"/>
      <c r="K3" s="2"/>
      <c r="L3" s="2"/>
      <c r="M3" s="1"/>
    </row>
    <row r="4" spans="3:13" x14ac:dyDescent="0.25">
      <c r="H4" s="2"/>
      <c r="I4" s="35" t="s">
        <v>37</v>
      </c>
      <c r="J4" s="2"/>
      <c r="K4" s="2"/>
      <c r="L4" s="2"/>
      <c r="M4" s="1"/>
    </row>
    <row r="5" spans="3:13" x14ac:dyDescent="0.25">
      <c r="C5" s="11" t="s">
        <v>40</v>
      </c>
      <c r="D5" s="2"/>
      <c r="E5" s="27" t="s">
        <v>41</v>
      </c>
      <c r="F5" s="2"/>
      <c r="H5" s="2"/>
      <c r="I5" s="35" t="s">
        <v>38</v>
      </c>
      <c r="J5" s="2"/>
      <c r="K5" s="2"/>
      <c r="L5" s="2"/>
      <c r="M5" s="1"/>
    </row>
    <row r="6" spans="3:13" x14ac:dyDescent="0.25">
      <c r="C6" s="11" t="s">
        <v>4</v>
      </c>
      <c r="D6" s="4">
        <v>850</v>
      </c>
      <c r="E6" s="5"/>
      <c r="F6" s="24" t="b">
        <v>1</v>
      </c>
      <c r="H6" s="2"/>
      <c r="I6" s="35" t="s">
        <v>39</v>
      </c>
      <c r="J6" s="2"/>
      <c r="K6" s="2"/>
      <c r="L6" s="2"/>
      <c r="M6" s="1"/>
    </row>
    <row r="7" spans="3:13" x14ac:dyDescent="0.25">
      <c r="C7" s="11" t="s">
        <v>5</v>
      </c>
      <c r="D7" s="4">
        <v>25</v>
      </c>
      <c r="E7" s="3">
        <v>599</v>
      </c>
      <c r="F7" s="26" t="s">
        <v>39</v>
      </c>
      <c r="H7" s="2"/>
      <c r="I7" s="2"/>
      <c r="J7" s="2"/>
      <c r="K7" s="2"/>
      <c r="L7" s="2"/>
      <c r="M7" s="1"/>
    </row>
    <row r="8" spans="3:13" x14ac:dyDescent="0.25">
      <c r="C8" s="11" t="s">
        <v>6</v>
      </c>
      <c r="D8" s="4">
        <v>0</v>
      </c>
      <c r="E8" s="5"/>
      <c r="F8" s="24" t="b">
        <v>1</v>
      </c>
      <c r="H8" s="2"/>
      <c r="I8" s="2"/>
      <c r="J8" s="2"/>
      <c r="K8" s="2"/>
      <c r="L8" s="2"/>
      <c r="M8" s="1"/>
    </row>
    <row r="9" spans="3:13" x14ac:dyDescent="0.25">
      <c r="C9" s="11" t="s">
        <v>7</v>
      </c>
      <c r="D9" s="4">
        <v>0</v>
      </c>
      <c r="E9" s="5"/>
      <c r="F9" s="25" t="s">
        <v>36</v>
      </c>
      <c r="H9" s="2"/>
      <c r="I9" s="2"/>
      <c r="J9" s="2"/>
      <c r="K9" s="2"/>
      <c r="L9" s="2"/>
      <c r="M9" s="1"/>
    </row>
    <row r="10" spans="3:13" x14ac:dyDescent="0.25">
      <c r="C10" s="11" t="s">
        <v>8</v>
      </c>
      <c r="D10" s="4">
        <v>0</v>
      </c>
      <c r="E10" s="5"/>
      <c r="F10" s="25" t="s">
        <v>36</v>
      </c>
      <c r="H10" s="2"/>
      <c r="I10" s="2"/>
      <c r="J10" s="2"/>
      <c r="K10" s="2"/>
      <c r="L10" s="2"/>
      <c r="M10" s="1"/>
    </row>
    <row r="11" spans="3:13" x14ac:dyDescent="0.25">
      <c r="C11" s="11" t="s">
        <v>9</v>
      </c>
      <c r="D11" s="4">
        <v>25</v>
      </c>
      <c r="E11" s="5"/>
      <c r="F11" s="24" t="b">
        <v>1</v>
      </c>
      <c r="H11" s="2"/>
      <c r="I11" s="2"/>
      <c r="J11" s="2"/>
      <c r="K11" s="2"/>
      <c r="L11" s="2"/>
      <c r="M11" s="1"/>
    </row>
    <row r="12" spans="3:13" x14ac:dyDescent="0.25">
      <c r="C12" s="11" t="s">
        <v>10</v>
      </c>
      <c r="D12" s="4">
        <v>90</v>
      </c>
      <c r="E12" s="5"/>
      <c r="F12" s="24" t="b">
        <v>1</v>
      </c>
      <c r="H12" s="2"/>
      <c r="I12" s="2"/>
      <c r="J12" s="2"/>
      <c r="K12" s="2"/>
      <c r="L12" s="2"/>
      <c r="M12" s="1"/>
    </row>
    <row r="13" spans="3:13" x14ac:dyDescent="0.25">
      <c r="C13" s="11" t="s">
        <v>11</v>
      </c>
      <c r="D13" s="4">
        <v>0</v>
      </c>
      <c r="E13" s="5"/>
      <c r="F13" s="28" t="s">
        <v>36</v>
      </c>
      <c r="H13" s="2"/>
      <c r="I13" s="2"/>
      <c r="J13" s="2"/>
      <c r="K13" s="2"/>
      <c r="L13" s="2"/>
      <c r="M13" s="1"/>
    </row>
    <row r="14" spans="3:13" x14ac:dyDescent="0.25">
      <c r="C14" s="11" t="s">
        <v>15</v>
      </c>
      <c r="D14" s="4">
        <v>2500</v>
      </c>
      <c r="E14" s="5"/>
      <c r="F14" s="24" t="b">
        <v>1</v>
      </c>
      <c r="H14" s="2"/>
      <c r="I14" s="2"/>
      <c r="J14" s="2"/>
      <c r="K14" s="2"/>
      <c r="L14" s="2"/>
      <c r="M14" s="1"/>
    </row>
    <row r="15" spans="3:13" x14ac:dyDescent="0.25">
      <c r="C15" s="12" t="s">
        <v>12</v>
      </c>
      <c r="D15" s="4">
        <v>500</v>
      </c>
      <c r="E15" s="5"/>
      <c r="F15" s="24" t="b">
        <v>1</v>
      </c>
      <c r="H15" s="2"/>
      <c r="I15" s="2"/>
      <c r="J15" s="2"/>
      <c r="K15" s="2"/>
      <c r="L15" s="2"/>
      <c r="M15" s="1"/>
    </row>
    <row r="16" spans="3:13" x14ac:dyDescent="0.25">
      <c r="C16" s="12" t="s">
        <v>13</v>
      </c>
      <c r="D16" s="4">
        <v>0</v>
      </c>
      <c r="E16" s="5"/>
      <c r="F16" s="28" t="s">
        <v>36</v>
      </c>
      <c r="H16" s="2"/>
      <c r="I16" s="2"/>
      <c r="J16" s="2"/>
      <c r="K16" s="2"/>
      <c r="L16" s="2"/>
      <c r="M16" s="1"/>
    </row>
    <row r="17" spans="3:13" x14ac:dyDescent="0.25">
      <c r="C17" s="12" t="s">
        <v>14</v>
      </c>
      <c r="D17" s="4">
        <v>40</v>
      </c>
      <c r="E17" s="5"/>
      <c r="F17" s="24" t="b">
        <v>1</v>
      </c>
      <c r="H17" s="2"/>
      <c r="I17" s="2"/>
      <c r="J17" s="2"/>
      <c r="K17" s="2"/>
      <c r="L17" s="2"/>
      <c r="M17" s="1"/>
    </row>
    <row r="18" spans="3:13" x14ac:dyDescent="0.25">
      <c r="C18" s="30" t="s">
        <v>43</v>
      </c>
      <c r="D18" s="31">
        <v>1500</v>
      </c>
      <c r="E18" s="32"/>
      <c r="F18" s="24" t="b">
        <v>1</v>
      </c>
      <c r="H18" s="2"/>
      <c r="I18" s="2"/>
      <c r="J18" s="2"/>
      <c r="K18" s="2"/>
      <c r="L18" s="2"/>
      <c r="M18" s="1"/>
    </row>
    <row r="19" spans="3:13" x14ac:dyDescent="0.25">
      <c r="C19" s="6" t="s">
        <v>16</v>
      </c>
      <c r="D19" s="7">
        <f>D6+D7+D8+D9+D10+D11+D12+D13+D14+D15+D16+D17+D18</f>
        <v>5530</v>
      </c>
      <c r="E19" s="7">
        <f>D6+E7+D8+D9+D10+D11+D12+D13+D14+D15+D16+D17+D18</f>
        <v>6104</v>
      </c>
      <c r="F19" s="2"/>
      <c r="H19" s="2"/>
      <c r="I19" s="2"/>
      <c r="J19" s="2"/>
      <c r="K19" s="2"/>
      <c r="L19" s="2"/>
      <c r="M19" s="1"/>
    </row>
    <row r="20" spans="3:13" x14ac:dyDescent="0.25">
      <c r="C20" s="6" t="s">
        <v>17</v>
      </c>
      <c r="D20" s="10">
        <f>D7+D8+D9+D10+D11+D12+D13+D14+D15+D16+D17+D19</f>
        <v>8710</v>
      </c>
      <c r="E20" s="7">
        <f>D8+D9+D10+D11+D12+D13+D14+D15+D16+D17+E7+D18</f>
        <v>5254</v>
      </c>
      <c r="F20" s="2"/>
      <c r="H20" s="2"/>
      <c r="I20" s="2"/>
      <c r="J20" s="2"/>
      <c r="K20" s="2"/>
      <c r="L20" s="2"/>
      <c r="M20" s="1"/>
    </row>
    <row r="21" spans="3:13" x14ac:dyDescent="0.25">
      <c r="C21" s="6" t="s">
        <v>18</v>
      </c>
      <c r="D21" s="7">
        <f>D6+D7+D9+D10+D11+D12+D13+D15+D16+D17+D18</f>
        <v>3030</v>
      </c>
      <c r="E21" s="7">
        <f>D6+D9+D10+D11+D12+D13+D15+D16+D17+E7+D18</f>
        <v>3604</v>
      </c>
      <c r="F21" s="2"/>
      <c r="H21" s="2"/>
      <c r="I21" s="2"/>
      <c r="J21" s="2"/>
      <c r="K21" s="2"/>
      <c r="L21" s="2"/>
      <c r="M21" s="1"/>
    </row>
    <row r="22" spans="3:13" x14ac:dyDescent="0.25">
      <c r="C22" s="6" t="s">
        <v>19</v>
      </c>
      <c r="D22" s="7">
        <f>D7+D9+D10+D11+D12+D13+D15+D16+D17+D18</f>
        <v>2180</v>
      </c>
      <c r="E22" s="7">
        <f>D9+D10+D11+D12+D13+D15+D16+D17+E7+D18</f>
        <v>2754</v>
      </c>
      <c r="F22" s="2"/>
      <c r="H22" s="2"/>
      <c r="I22" s="2"/>
      <c r="J22" s="2"/>
      <c r="K22" s="2"/>
      <c r="L22" s="2"/>
      <c r="M22" s="1"/>
    </row>
    <row r="23" spans="3:13" x14ac:dyDescent="0.25">
      <c r="C23" s="2"/>
      <c r="D23" s="2"/>
      <c r="E23" s="2"/>
      <c r="F23" s="2"/>
      <c r="H23" s="2"/>
      <c r="I23" s="2"/>
      <c r="J23" s="2"/>
      <c r="K23" s="2"/>
      <c r="L23" s="2"/>
      <c r="M23" s="1"/>
    </row>
    <row r="24" spans="3:13" x14ac:dyDescent="0.25">
      <c r="C24" s="13" t="s">
        <v>25</v>
      </c>
      <c r="D24" s="2"/>
      <c r="E24" s="2"/>
      <c r="F24" s="2"/>
      <c r="G24" s="16" t="s">
        <v>26</v>
      </c>
      <c r="H24" s="2"/>
      <c r="I24" s="2"/>
      <c r="J24" s="2"/>
      <c r="K24" s="2"/>
      <c r="L24" s="2"/>
      <c r="M24" s="1"/>
    </row>
    <row r="25" spans="3:13" x14ac:dyDescent="0.25">
      <c r="C25" s="14" t="s">
        <v>20</v>
      </c>
      <c r="D25" s="8">
        <f>D19+G3</f>
        <v>12550</v>
      </c>
      <c r="E25" s="17" t="s">
        <v>24</v>
      </c>
      <c r="F25" s="9">
        <f>D25*1.2</f>
        <v>15060</v>
      </c>
      <c r="G25" s="15" t="s">
        <v>20</v>
      </c>
      <c r="H25" s="8">
        <f>E19+G3</f>
        <v>13124</v>
      </c>
      <c r="I25" s="29" t="s">
        <v>24</v>
      </c>
      <c r="J25" s="9">
        <f>H25*1.2</f>
        <v>15748.8</v>
      </c>
      <c r="K25" s="2"/>
      <c r="L25" s="2"/>
      <c r="M25" s="1"/>
    </row>
    <row r="26" spans="3:13" x14ac:dyDescent="0.25">
      <c r="C26" s="14" t="s">
        <v>21</v>
      </c>
      <c r="D26" s="8">
        <f>D20+G3</f>
        <v>15730</v>
      </c>
      <c r="E26" s="17" t="s">
        <v>24</v>
      </c>
      <c r="F26" s="9">
        <f>D26*1.2</f>
        <v>18876</v>
      </c>
      <c r="G26" s="15" t="s">
        <v>21</v>
      </c>
      <c r="H26" s="8">
        <f>E20+G3</f>
        <v>12274</v>
      </c>
      <c r="I26" s="29" t="s">
        <v>24</v>
      </c>
      <c r="J26" s="9">
        <f>H26*1.2</f>
        <v>14728.8</v>
      </c>
    </row>
    <row r="27" spans="3:13" x14ac:dyDescent="0.25">
      <c r="C27" s="14" t="s">
        <v>22</v>
      </c>
      <c r="D27" s="8">
        <f>D21+G3</f>
        <v>10050</v>
      </c>
      <c r="E27" s="17" t="s">
        <v>24</v>
      </c>
      <c r="F27" s="9">
        <f>D27*1.2</f>
        <v>12060</v>
      </c>
      <c r="G27" s="15" t="s">
        <v>22</v>
      </c>
      <c r="H27" s="8">
        <f>E21+G3</f>
        <v>10624</v>
      </c>
      <c r="I27" s="29" t="s">
        <v>24</v>
      </c>
      <c r="J27" s="9">
        <f>H27*1.2</f>
        <v>12748.8</v>
      </c>
    </row>
    <row r="28" spans="3:13" x14ac:dyDescent="0.25">
      <c r="C28" s="14" t="s">
        <v>23</v>
      </c>
      <c r="D28" s="9">
        <f>D22+G3</f>
        <v>9200</v>
      </c>
      <c r="E28" s="17" t="s">
        <v>24</v>
      </c>
      <c r="F28" s="9">
        <f>D28*1.2</f>
        <v>11040</v>
      </c>
      <c r="G28" s="15" t="s">
        <v>23</v>
      </c>
      <c r="H28" s="9">
        <f>E22+G3</f>
        <v>9774</v>
      </c>
      <c r="I28" s="29" t="s">
        <v>24</v>
      </c>
      <c r="J28" s="9">
        <f>H28*1.2</f>
        <v>11728.8</v>
      </c>
    </row>
    <row r="30" spans="3:13" x14ac:dyDescent="0.25">
      <c r="C30" s="36" t="s">
        <v>27</v>
      </c>
      <c r="D30" s="37"/>
      <c r="E30" s="37"/>
      <c r="F30" s="37"/>
    </row>
    <row r="31" spans="3:13" x14ac:dyDescent="0.25">
      <c r="C31" s="14" t="s">
        <v>28</v>
      </c>
      <c r="D31" s="38">
        <f>(F25/1-0.15)*1.21</f>
        <v>18222.4185</v>
      </c>
      <c r="E31" s="15" t="s">
        <v>32</v>
      </c>
      <c r="F31" s="9">
        <f>(J25/1-0.15)*1.21</f>
        <v>19055.8665</v>
      </c>
    </row>
    <row r="32" spans="3:13" x14ac:dyDescent="0.25">
      <c r="C32" s="14" t="s">
        <v>29</v>
      </c>
      <c r="D32" s="9">
        <f>(F26/1-0.15)*1.21</f>
        <v>22839.778499999997</v>
      </c>
      <c r="E32" s="15" t="s">
        <v>33</v>
      </c>
      <c r="F32" s="9">
        <f>(J26/1-0.15)*1.21</f>
        <v>17821.666499999999</v>
      </c>
    </row>
    <row r="33" spans="3:6" x14ac:dyDescent="0.25">
      <c r="C33" s="14" t="s">
        <v>30</v>
      </c>
      <c r="D33" s="9">
        <f>(F27/1-0.15)*1.21</f>
        <v>14592.4185</v>
      </c>
      <c r="E33" s="15" t="s">
        <v>34</v>
      </c>
      <c r="F33" s="9">
        <f>(J27/1-0.15)*1.21</f>
        <v>15425.866499999998</v>
      </c>
    </row>
    <row r="34" spans="3:6" x14ac:dyDescent="0.25">
      <c r="C34" s="14" t="s">
        <v>31</v>
      </c>
      <c r="D34" s="9">
        <f>(F28/1-0.15)*1.21</f>
        <v>13358.218500000001</v>
      </c>
      <c r="E34" s="15" t="s">
        <v>35</v>
      </c>
      <c r="F34" s="9">
        <f>(J28/1-0.15)*1.21</f>
        <v>14191.666499999999</v>
      </c>
    </row>
    <row r="36" spans="3:6" x14ac:dyDescent="0.25">
      <c r="D36" s="33" t="s">
        <v>44</v>
      </c>
      <c r="E36" s="33" t="s">
        <v>37</v>
      </c>
      <c r="F36" s="33" t="s">
        <v>38</v>
      </c>
    </row>
    <row r="37" spans="3:6" ht="30" x14ac:dyDescent="0.25">
      <c r="D37" s="34" t="s">
        <v>45</v>
      </c>
      <c r="E37" s="34" t="s">
        <v>46</v>
      </c>
      <c r="F37" s="34" t="s">
        <v>47</v>
      </c>
    </row>
    <row r="38" spans="3:6" ht="30" x14ac:dyDescent="0.25">
      <c r="D38" s="34" t="s">
        <v>48</v>
      </c>
      <c r="E38" s="34" t="s">
        <v>49</v>
      </c>
      <c r="F38" s="34" t="s">
        <v>50</v>
      </c>
    </row>
    <row r="39" spans="3:6" x14ac:dyDescent="0.25">
      <c r="D39" s="34" t="s">
        <v>51</v>
      </c>
      <c r="E39" s="34" t="s">
        <v>52</v>
      </c>
      <c r="F39" s="34" t="s">
        <v>53</v>
      </c>
    </row>
    <row r="40" spans="3:6" x14ac:dyDescent="0.25">
      <c r="D40" s="34" t="s">
        <v>54</v>
      </c>
      <c r="E40" s="34" t="s">
        <v>55</v>
      </c>
      <c r="F40" s="34" t="s">
        <v>56</v>
      </c>
    </row>
    <row r="41" spans="3:6" x14ac:dyDescent="0.25">
      <c r="D41" s="34" t="s">
        <v>57</v>
      </c>
      <c r="E41" s="34" t="s">
        <v>58</v>
      </c>
      <c r="F41" s="34" t="s">
        <v>59</v>
      </c>
    </row>
  </sheetData>
  <mergeCells count="1">
    <mergeCell ref="C30:F30"/>
  </mergeCells>
  <dataValidations count="1">
    <dataValidation type="list" allowBlank="1" showInputMessage="1" showErrorMessage="1" sqref="F7" xr:uid="{D9A7ADE5-6B6D-468D-AF6C-B585814B567E}">
      <formula1>$I$4:$I$6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Alberti</dc:creator>
  <cp:lastModifiedBy>Adriano Alberti</cp:lastModifiedBy>
  <dcterms:created xsi:type="dcterms:W3CDTF">2026-01-15T11:35:52Z</dcterms:created>
  <dcterms:modified xsi:type="dcterms:W3CDTF">2026-01-16T11:32:06Z</dcterms:modified>
</cp:coreProperties>
</file>