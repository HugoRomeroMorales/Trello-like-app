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dr\OneDrive - MSFT\Escritorio\Clases\Desarrollo de interfaces\Trello\"/>
    </mc:Choice>
  </mc:AlternateContent>
  <xr:revisionPtr revIDLastSave="0" documentId="13_ncr:1_{1C9520D3-32C4-4ADA-BA35-F7F44D98BB97}" xr6:coauthVersionLast="47" xr6:coauthVersionMax="47" xr10:uidLastSave="{00000000-0000-0000-0000-000000000000}"/>
  <bookViews>
    <workbookView xWindow="-120" yWindow="-120" windowWidth="38640" windowHeight="21120" xr2:uid="{D56EC9F1-4E9C-490E-8E76-1623D405A24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18" i="1"/>
  <c r="E21" i="1"/>
  <c r="E19" i="1"/>
  <c r="E20" i="1"/>
  <c r="E18" i="1"/>
  <c r="D20" i="1"/>
  <c r="D19" i="1"/>
  <c r="D3" i="1"/>
  <c r="E3" i="1"/>
  <c r="G3" i="1" s="1"/>
  <c r="H28" i="1" s="1"/>
  <c r="J28" i="1" s="1"/>
  <c r="F34" i="1" s="1"/>
  <c r="D26" i="1" l="1"/>
  <c r="F26" i="1" s="1"/>
  <c r="D32" i="1" s="1"/>
  <c r="D25" i="1"/>
  <c r="F25" i="1" s="1"/>
  <c r="D31" i="1" s="1"/>
  <c r="D28" i="1"/>
  <c r="F28" i="1" s="1"/>
  <c r="D34" i="1" s="1"/>
  <c r="H27" i="1"/>
  <c r="J27" i="1" s="1"/>
  <c r="F33" i="1" s="1"/>
  <c r="D27" i="1"/>
  <c r="F27" i="1" s="1"/>
  <c r="D33" i="1" s="1"/>
  <c r="H25" i="1"/>
  <c r="J25" i="1" s="1"/>
  <c r="F31" i="1" s="1"/>
  <c r="H26" i="1"/>
  <c r="J26" i="1" s="1"/>
  <c r="F32" i="1" s="1"/>
</calcChain>
</file>

<file path=xl/sharedStrings.xml><?xml version="1.0" encoding="utf-8"?>
<sst xmlns="http://schemas.openxmlformats.org/spreadsheetml/2006/main" count="58" uniqueCount="43">
  <si>
    <t>€/Emplado</t>
  </si>
  <si>
    <t>SS</t>
  </si>
  <si>
    <t xml:space="preserve">Nº de empleados </t>
  </si>
  <si>
    <t>€/Emplado neto</t>
  </si>
  <si>
    <t>Plus excluisvidad</t>
  </si>
  <si>
    <t>Infraestructura</t>
  </si>
  <si>
    <t>Licencias externas</t>
  </si>
  <si>
    <t>Servicios de hosting</t>
  </si>
  <si>
    <t>Costes de contratacion de freelancer</t>
  </si>
  <si>
    <t xml:space="preserve">Equipo y hardware </t>
  </si>
  <si>
    <t>Mantenimiento y soporte</t>
  </si>
  <si>
    <t>Costes de prueba y control de calidad</t>
  </si>
  <si>
    <t>Costes legales</t>
  </si>
  <si>
    <t>Costes administrativos y contables</t>
  </si>
  <si>
    <t>Gastos generales imputables al proyecto</t>
  </si>
  <si>
    <t>Formación de equipo (Curso de IA) 600€</t>
  </si>
  <si>
    <t>TOTAL CON EXCLUSIVIDAD + IA</t>
  </si>
  <si>
    <t>TOTAL SIN EXCLUSIVIDAD + IA</t>
  </si>
  <si>
    <t>TOTAL CON EXCLUSIVIDAD SIN IA</t>
  </si>
  <si>
    <t>TOTAL SIN EXCLU Y SIN IA</t>
  </si>
  <si>
    <t>TOTAL CON EXCLUSIVIDAD + IA  (Costes internos + Coste empleado)</t>
  </si>
  <si>
    <t>TOTAL SIN EXCLUSIVIDAD + IA (Costes internos + Coste empleado)</t>
  </si>
  <si>
    <t>TOTAL CON EXCLUSIVIDAD SIN IA (Costes internos + Coste empleado)</t>
  </si>
  <si>
    <t>TOTAL TOTAL SIN EXCLU Y SIN IA (Costes internos + Coste empleado)</t>
  </si>
  <si>
    <t>Total * 20% ganancias</t>
  </si>
  <si>
    <t>PLAN PRO DE INFRAESTRUCTURA</t>
  </si>
  <si>
    <t>PLAN TEAM DE INFRAESTRUCTURA</t>
  </si>
  <si>
    <t>PRECIO FINAL</t>
  </si>
  <si>
    <t>TOTAL CON EXCLUSIVIDAD + IA (PLAN PRO)</t>
  </si>
  <si>
    <t>TOTAL SIN EXCLUSIVIDAD + IA (PLAN PRO)</t>
  </si>
  <si>
    <t>TOTAL CON EXCLUSIVIDAD SIN IA (PLAN PRO)</t>
  </si>
  <si>
    <t>TOTAL SIN EXCLU Y SIN IA (PLAN PRO)</t>
  </si>
  <si>
    <t>TOTAL CON EXCLUSIVIDAD + IA (PLAN TEAM)</t>
  </si>
  <si>
    <t>TOTAL SIN EXCLUSIVIDAD + IA (PLAN TEAM)</t>
  </si>
  <si>
    <t>TOTAL CON EXCLUSIVIDAD SIN IA (PLAN TEAM)</t>
  </si>
  <si>
    <t>TOTAL SIN EXCLU Y SIN IA (PLAN TEAM)</t>
  </si>
  <si>
    <t>NO</t>
  </si>
  <si>
    <t>PRO</t>
  </si>
  <si>
    <t>TEAM</t>
  </si>
  <si>
    <t>NADA</t>
  </si>
  <si>
    <t xml:space="preserve">LICENCIA PRO </t>
  </si>
  <si>
    <t>LICENCIA TEAM</t>
  </si>
  <si>
    <t>€/Empleado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</si>
</sst>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5" formatCode="0.0%"/>
    <numFmt numFmtId="166" formatCode="_-* #,##0.00\ [$€-C0A]_-;\-* #,##0.00\ [$€-C0A]_-;_-* &quot;-&quot;??\ [$€-C0A]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0" fillId="0" borderId="1" xfId="0" applyNumberFormat="1" applyFont="1" applyBorder="1" applyAlignment="1">
      <alignment horizontal="center" vertical="center"/>
    </xf>
    <xf numFmtId="166" fontId="0" fillId="0" borderId="1" xfId="0" applyNumberFormat="1" applyBorder="1"/>
    <xf numFmtId="166" fontId="4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166" fontId="0" fillId="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166" fontId="0" fillId="0" borderId="1" xfId="0" applyNumberFormat="1" applyFont="1" applyFill="1" applyBorder="1"/>
    <xf numFmtId="44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7" borderId="0" xfId="0" applyFont="1" applyFill="1"/>
    <xf numFmtId="166" fontId="0" fillId="0" borderId="1" xfId="0" applyNumberFormat="1" applyFill="1" applyBorder="1"/>
    <xf numFmtId="0" fontId="0" fillId="8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4" fontId="0" fillId="9" borderId="1" xfId="1" applyFont="1" applyFill="1" applyBorder="1" applyAlignment="1">
      <alignment horizontal="center" vertical="center"/>
    </xf>
    <xf numFmtId="165" fontId="0" fillId="9" borderId="1" xfId="2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4" fontId="2" fillId="9" borderId="1" xfId="1" applyFont="1" applyFill="1" applyBorder="1"/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1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7" borderId="1" xfId="0" applyFont="1" applyFill="1" applyBorder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ABE1-AACB-4C47-8552-08440E30DEC7}">
  <dimension ref="C1:M34"/>
  <sheetViews>
    <sheetView tabSelected="1" zoomScale="130" zoomScaleNormal="130" workbookViewId="0">
      <selection activeCell="F7" sqref="F7"/>
    </sheetView>
  </sheetViews>
  <sheetFormatPr baseColWidth="10" defaultRowHeight="15" x14ac:dyDescent="0.25"/>
  <cols>
    <col min="3" max="3" width="62" bestFit="1" customWidth="1"/>
    <col min="4" max="4" width="17" customWidth="1"/>
    <col min="5" max="5" width="42.5703125" bestFit="1" customWidth="1"/>
    <col min="6" max="6" width="16.7109375" bestFit="1" customWidth="1"/>
    <col min="7" max="7" width="65.28515625" bestFit="1" customWidth="1"/>
    <col min="8" max="8" width="12.7109375" bestFit="1" customWidth="1"/>
    <col min="9" max="9" width="20.28515625" bestFit="1" customWidth="1"/>
    <col min="10" max="10" width="12.7109375" bestFit="1" customWidth="1"/>
  </cols>
  <sheetData>
    <row r="1" spans="3:13" x14ac:dyDescent="0.25">
      <c r="H1" s="1"/>
      <c r="I1" s="1"/>
      <c r="J1" s="1"/>
      <c r="K1" s="1"/>
      <c r="L1" s="1"/>
      <c r="M1" s="1"/>
    </row>
    <row r="2" spans="3:13" x14ac:dyDescent="0.25">
      <c r="C2" s="25" t="s">
        <v>3</v>
      </c>
      <c r="D2" s="25" t="s">
        <v>1</v>
      </c>
      <c r="E2" s="25" t="s">
        <v>42</v>
      </c>
      <c r="F2" s="25" t="s">
        <v>2</v>
      </c>
      <c r="G2" s="26" t="s">
        <v>0</v>
      </c>
      <c r="H2" s="1"/>
      <c r="I2" s="1"/>
      <c r="J2" s="1"/>
      <c r="K2" s="1"/>
      <c r="L2" s="1"/>
      <c r="M2" s="1"/>
    </row>
    <row r="3" spans="3:13" x14ac:dyDescent="0.25">
      <c r="C3" s="27">
        <v>1800</v>
      </c>
      <c r="D3" s="28">
        <f>1+(0.3)</f>
        <v>1.3</v>
      </c>
      <c r="E3" s="27">
        <f>C3*D3</f>
        <v>2340</v>
      </c>
      <c r="F3" s="29">
        <v>3</v>
      </c>
      <c r="G3" s="30">
        <f>E3*F3</f>
        <v>7020</v>
      </c>
      <c r="H3" s="2"/>
      <c r="I3" s="2"/>
      <c r="J3" s="2"/>
      <c r="K3" s="2"/>
      <c r="L3" s="2"/>
      <c r="M3" s="1"/>
    </row>
    <row r="4" spans="3:13" x14ac:dyDescent="0.25">
      <c r="H4" s="2"/>
      <c r="I4" s="2" t="s">
        <v>37</v>
      </c>
      <c r="J4" s="2"/>
      <c r="K4" s="2"/>
      <c r="L4" s="2"/>
      <c r="M4" s="1"/>
    </row>
    <row r="5" spans="3:13" x14ac:dyDescent="0.25">
      <c r="C5" s="17" t="s">
        <v>40</v>
      </c>
      <c r="D5" s="2"/>
      <c r="E5" s="34" t="s">
        <v>41</v>
      </c>
      <c r="F5" s="2"/>
      <c r="H5" s="2"/>
      <c r="I5" s="2" t="s">
        <v>38</v>
      </c>
      <c r="J5" s="2"/>
      <c r="K5" s="2"/>
      <c r="L5" s="2"/>
      <c r="M5" s="1"/>
    </row>
    <row r="6" spans="3:13" x14ac:dyDescent="0.25">
      <c r="C6" s="17" t="s">
        <v>4</v>
      </c>
      <c r="D6" s="4">
        <v>850</v>
      </c>
      <c r="E6" s="5"/>
      <c r="F6" s="31" t="b">
        <v>0</v>
      </c>
      <c r="H6" s="2"/>
      <c r="I6" s="2" t="s">
        <v>39</v>
      </c>
      <c r="J6" s="2"/>
      <c r="K6" s="2"/>
      <c r="L6" s="2"/>
      <c r="M6" s="1"/>
    </row>
    <row r="7" spans="3:13" x14ac:dyDescent="0.25">
      <c r="C7" s="17" t="s">
        <v>5</v>
      </c>
      <c r="D7" s="4">
        <v>25</v>
      </c>
      <c r="E7" s="3">
        <v>599</v>
      </c>
      <c r="F7" s="33" t="s">
        <v>39</v>
      </c>
      <c r="H7" s="2"/>
      <c r="I7" s="2"/>
      <c r="J7" s="2"/>
      <c r="K7" s="2"/>
      <c r="L7" s="2"/>
      <c r="M7" s="1"/>
    </row>
    <row r="8" spans="3:13" x14ac:dyDescent="0.25">
      <c r="C8" s="17" t="s">
        <v>6</v>
      </c>
      <c r="D8" s="4">
        <v>1000</v>
      </c>
      <c r="E8" s="5"/>
      <c r="F8" s="31" t="b">
        <v>0</v>
      </c>
      <c r="H8" s="2"/>
      <c r="I8" s="2"/>
      <c r="J8" s="2"/>
      <c r="K8" s="2"/>
      <c r="L8" s="2"/>
      <c r="M8" s="1"/>
    </row>
    <row r="9" spans="3:13" x14ac:dyDescent="0.25">
      <c r="C9" s="17" t="s">
        <v>7</v>
      </c>
      <c r="D9" s="4">
        <v>0</v>
      </c>
      <c r="E9" s="5"/>
      <c r="F9" s="32" t="s">
        <v>36</v>
      </c>
      <c r="H9" s="2"/>
      <c r="I9" s="2"/>
      <c r="J9" s="2"/>
      <c r="K9" s="2"/>
      <c r="L9" s="2"/>
      <c r="M9" s="1"/>
    </row>
    <row r="10" spans="3:13" x14ac:dyDescent="0.25">
      <c r="C10" s="17" t="s">
        <v>8</v>
      </c>
      <c r="D10" s="4">
        <v>0</v>
      </c>
      <c r="E10" s="5"/>
      <c r="F10" s="32" t="s">
        <v>36</v>
      </c>
      <c r="H10" s="2"/>
      <c r="I10" s="2"/>
      <c r="J10" s="2"/>
      <c r="K10" s="2"/>
      <c r="L10" s="2"/>
      <c r="M10" s="1"/>
    </row>
    <row r="11" spans="3:13" x14ac:dyDescent="0.25">
      <c r="C11" s="17" t="s">
        <v>9</v>
      </c>
      <c r="D11" s="4">
        <v>25</v>
      </c>
      <c r="E11" s="5"/>
      <c r="F11" s="31" t="b">
        <v>1</v>
      </c>
      <c r="H11" s="2"/>
      <c r="I11" s="2"/>
      <c r="J11" s="2"/>
      <c r="K11" s="2"/>
      <c r="L11" s="2"/>
      <c r="M11" s="1"/>
    </row>
    <row r="12" spans="3:13" x14ac:dyDescent="0.25">
      <c r="C12" s="17" t="s">
        <v>10</v>
      </c>
      <c r="D12" s="4">
        <v>90</v>
      </c>
      <c r="E12" s="5"/>
      <c r="F12" s="31" t="b">
        <v>1</v>
      </c>
      <c r="H12" s="2"/>
      <c r="I12" s="2"/>
      <c r="J12" s="2"/>
      <c r="K12" s="2"/>
      <c r="L12" s="2"/>
      <c r="M12" s="1"/>
    </row>
    <row r="13" spans="3:13" x14ac:dyDescent="0.25">
      <c r="C13" s="17" t="s">
        <v>11</v>
      </c>
      <c r="D13" s="4">
        <v>0</v>
      </c>
      <c r="E13" s="5"/>
      <c r="F13" s="35" t="s">
        <v>36</v>
      </c>
      <c r="H13" s="2"/>
      <c r="I13" s="2"/>
      <c r="J13" s="2"/>
      <c r="K13" s="2"/>
      <c r="L13" s="2"/>
      <c r="M13" s="1"/>
    </row>
    <row r="14" spans="3:13" x14ac:dyDescent="0.25">
      <c r="C14" s="17" t="s">
        <v>15</v>
      </c>
      <c r="D14" s="4">
        <v>1800</v>
      </c>
      <c r="E14" s="5"/>
      <c r="F14" s="31" t="b">
        <v>0</v>
      </c>
      <c r="H14" s="2"/>
      <c r="I14" s="2"/>
      <c r="J14" s="2"/>
      <c r="K14" s="2"/>
      <c r="L14" s="2"/>
      <c r="M14" s="1"/>
    </row>
    <row r="15" spans="3:13" x14ac:dyDescent="0.25">
      <c r="C15" s="18" t="s">
        <v>12</v>
      </c>
      <c r="D15" s="4">
        <v>500</v>
      </c>
      <c r="E15" s="5"/>
      <c r="F15" s="31" t="b">
        <v>1</v>
      </c>
      <c r="H15" s="2"/>
      <c r="I15" s="2"/>
      <c r="J15" s="2"/>
      <c r="K15" s="2"/>
      <c r="L15" s="2"/>
      <c r="M15" s="1"/>
    </row>
    <row r="16" spans="3:13" x14ac:dyDescent="0.25">
      <c r="C16" s="18" t="s">
        <v>13</v>
      </c>
      <c r="D16" s="4">
        <v>0</v>
      </c>
      <c r="E16" s="5"/>
      <c r="F16" s="35" t="s">
        <v>36</v>
      </c>
      <c r="H16" s="2"/>
      <c r="I16" s="2"/>
      <c r="J16" s="2"/>
      <c r="K16" s="2"/>
      <c r="L16" s="2"/>
      <c r="M16" s="1"/>
    </row>
    <row r="17" spans="3:13" x14ac:dyDescent="0.25">
      <c r="C17" s="18" t="s">
        <v>14</v>
      </c>
      <c r="D17" s="4">
        <v>40</v>
      </c>
      <c r="E17" s="5"/>
      <c r="F17" s="31" t="b">
        <v>1</v>
      </c>
      <c r="H17" s="2"/>
      <c r="I17" s="2"/>
      <c r="J17" s="2"/>
      <c r="K17" s="2"/>
      <c r="L17" s="2"/>
      <c r="M17" s="1"/>
    </row>
    <row r="18" spans="3:13" x14ac:dyDescent="0.25">
      <c r="C18" s="6" t="s">
        <v>16</v>
      </c>
      <c r="D18" s="11">
        <f>D6+D7+D8+D9+D10+D11+D12+D13+D14+D15+D16+D17</f>
        <v>4330</v>
      </c>
      <c r="E18" s="7">
        <f>D6+E7+D8+D9+D10+D11+D12+D13+D14+D15+D16+D17</f>
        <v>4904</v>
      </c>
      <c r="F18" s="2"/>
      <c r="H18" s="2"/>
      <c r="I18" s="2"/>
      <c r="J18" s="2"/>
      <c r="K18" s="2"/>
      <c r="L18" s="2"/>
      <c r="M18" s="1"/>
    </row>
    <row r="19" spans="3:13" x14ac:dyDescent="0.25">
      <c r="C19" s="6" t="s">
        <v>17</v>
      </c>
      <c r="D19" s="10">
        <f>D7+D8+D9+D10+D11+D12+D13+D14+D15+D16+D17</f>
        <v>3480</v>
      </c>
      <c r="E19" s="7">
        <f>D8+D9+D10+D11+D12+D13+D14+D15+D16+D17+E7</f>
        <v>4054</v>
      </c>
      <c r="F19" s="2"/>
      <c r="H19" s="2"/>
      <c r="I19" s="2"/>
      <c r="J19" s="2"/>
      <c r="K19" s="2"/>
      <c r="L19" s="2"/>
      <c r="M19" s="1"/>
    </row>
    <row r="20" spans="3:13" x14ac:dyDescent="0.25">
      <c r="C20" s="6" t="s">
        <v>18</v>
      </c>
      <c r="D20" s="7">
        <f>D6+D7+D9+D10+D11+D12+D13+D15+D16+D17</f>
        <v>1530</v>
      </c>
      <c r="E20" s="7">
        <f>D6+D9+D10+D11+D12+D13+D15+D16+D17+E7</f>
        <v>2104</v>
      </c>
      <c r="F20" s="2"/>
      <c r="H20" s="2"/>
      <c r="I20" s="2"/>
      <c r="J20" s="2"/>
      <c r="K20" s="2"/>
      <c r="L20" s="2"/>
      <c r="M20" s="1"/>
    </row>
    <row r="21" spans="3:13" x14ac:dyDescent="0.25">
      <c r="C21" s="15" t="s">
        <v>19</v>
      </c>
      <c r="D21" s="11">
        <f>D7+D9+D10+D11+D12+D13+D15+D16+D17</f>
        <v>680</v>
      </c>
      <c r="E21" s="11">
        <f>D9+D10+D11+D12+D13+D15+D16+D17+E7</f>
        <v>1254</v>
      </c>
      <c r="F21" s="2"/>
      <c r="H21" s="2"/>
      <c r="I21" s="2"/>
      <c r="J21" s="2"/>
      <c r="K21" s="2"/>
      <c r="L21" s="2"/>
      <c r="M21" s="1"/>
    </row>
    <row r="22" spans="3:13" x14ac:dyDescent="0.25">
      <c r="C22" s="2"/>
      <c r="D22" s="2"/>
      <c r="E22" s="2"/>
      <c r="F22" s="2"/>
      <c r="H22" s="2"/>
      <c r="I22" s="2"/>
      <c r="J22" s="2"/>
      <c r="K22" s="2"/>
      <c r="L22" s="2"/>
      <c r="M22" s="1"/>
    </row>
    <row r="23" spans="3:13" x14ac:dyDescent="0.25">
      <c r="C23" s="2"/>
      <c r="D23" s="2"/>
      <c r="E23" s="2"/>
      <c r="F23" s="2"/>
      <c r="H23" s="2"/>
      <c r="I23" s="2"/>
      <c r="J23" s="2"/>
      <c r="K23" s="2"/>
      <c r="L23" s="2"/>
      <c r="M23" s="1"/>
    </row>
    <row r="24" spans="3:13" x14ac:dyDescent="0.25">
      <c r="C24" s="19" t="s">
        <v>25</v>
      </c>
      <c r="D24" s="2"/>
      <c r="E24" s="2"/>
      <c r="F24" s="2"/>
      <c r="G24" s="22" t="s">
        <v>26</v>
      </c>
      <c r="H24" s="2"/>
      <c r="I24" s="2"/>
      <c r="J24" s="2"/>
      <c r="K24" s="2"/>
      <c r="L24" s="2"/>
      <c r="M24" s="1"/>
    </row>
    <row r="25" spans="3:13" x14ac:dyDescent="0.25">
      <c r="C25" s="20" t="s">
        <v>20</v>
      </c>
      <c r="D25" s="12">
        <f>D6+D7+D8+D9+D10+D11+D12+D13+D14+D15+D16+D17+G3</f>
        <v>11350</v>
      </c>
      <c r="E25" s="23" t="s">
        <v>24</v>
      </c>
      <c r="F25" s="9">
        <f>D25*1.2</f>
        <v>13620</v>
      </c>
      <c r="G25" s="21" t="s">
        <v>20</v>
      </c>
      <c r="H25" s="8">
        <f>D6+E7+D8+D9+D10+D11+D12+D13+D14+D15+D16+D17+G3</f>
        <v>11924</v>
      </c>
      <c r="I25" s="36" t="s">
        <v>24</v>
      </c>
      <c r="J25" s="9">
        <f>H25*1.2</f>
        <v>14308.8</v>
      </c>
      <c r="K25" s="2"/>
      <c r="L25" s="2"/>
      <c r="M25" s="1"/>
    </row>
    <row r="26" spans="3:13" x14ac:dyDescent="0.25">
      <c r="C26" s="20" t="s">
        <v>21</v>
      </c>
      <c r="D26" s="12">
        <f>D7+D8+D9+D10+D11+D12+D13+D14+D15+D16+D17+G3</f>
        <v>10500</v>
      </c>
      <c r="E26" s="23" t="s">
        <v>24</v>
      </c>
      <c r="F26" s="9">
        <f>D26*1.2</f>
        <v>12600</v>
      </c>
      <c r="G26" s="21" t="s">
        <v>21</v>
      </c>
      <c r="H26" s="8">
        <f>D8+D9+D10+D11+D12+D13+D14+D15+D16+D17+E7+G3</f>
        <v>11074</v>
      </c>
      <c r="I26" s="36" t="s">
        <v>24</v>
      </c>
      <c r="J26" s="9">
        <f>H26*1.2</f>
        <v>13288.8</v>
      </c>
    </row>
    <row r="27" spans="3:13" x14ac:dyDescent="0.25">
      <c r="C27" s="20" t="s">
        <v>22</v>
      </c>
      <c r="D27" s="8">
        <f>D6+D7+D9+D10+D11+D12+D13+D15+D16+D17+G3</f>
        <v>8550</v>
      </c>
      <c r="E27" s="23" t="s">
        <v>24</v>
      </c>
      <c r="F27" s="9">
        <f>D27*1.2</f>
        <v>10260</v>
      </c>
      <c r="G27" s="21" t="s">
        <v>22</v>
      </c>
      <c r="H27" s="8">
        <f>D6+D9+D10+D11+D12+D13+D15+D16+D17+E7+G3</f>
        <v>9124</v>
      </c>
      <c r="I27" s="36" t="s">
        <v>24</v>
      </c>
      <c r="J27" s="9">
        <f>H27*1.2</f>
        <v>10948.8</v>
      </c>
    </row>
    <row r="28" spans="3:13" x14ac:dyDescent="0.25">
      <c r="C28" s="20" t="s">
        <v>23</v>
      </c>
      <c r="D28" s="16">
        <f>D7+D9+D10+D11+D12+D13+D15+D16+D17+G3</f>
        <v>7700</v>
      </c>
      <c r="E28" s="23" t="s">
        <v>24</v>
      </c>
      <c r="F28" s="24">
        <f>D28*1.2</f>
        <v>9240</v>
      </c>
      <c r="G28" s="21" t="s">
        <v>23</v>
      </c>
      <c r="H28" s="16">
        <f>D9+D10+D11+D12+D13+D15+D16+D17+E7+G3</f>
        <v>8274</v>
      </c>
      <c r="I28" s="36" t="s">
        <v>24</v>
      </c>
      <c r="J28" s="24">
        <f>H28*1.2</f>
        <v>9928.7999999999993</v>
      </c>
    </row>
    <row r="30" spans="3:13" x14ac:dyDescent="0.25">
      <c r="C30" s="14" t="s">
        <v>27</v>
      </c>
      <c r="D30" s="13"/>
      <c r="E30" s="13"/>
      <c r="F30" s="13"/>
    </row>
    <row r="31" spans="3:13" x14ac:dyDescent="0.25">
      <c r="C31" s="20" t="s">
        <v>28</v>
      </c>
      <c r="D31" s="9">
        <f>(F25/1-0.15)*1.21</f>
        <v>16480.018499999998</v>
      </c>
      <c r="E31" s="21" t="s">
        <v>32</v>
      </c>
      <c r="F31" s="9">
        <f>(J25/1-0.15)*1.21</f>
        <v>17313.466499999999</v>
      </c>
    </row>
    <row r="32" spans="3:13" x14ac:dyDescent="0.25">
      <c r="C32" s="20" t="s">
        <v>29</v>
      </c>
      <c r="D32" s="9">
        <f>(F26/1-0.15)*1.21</f>
        <v>15245.818499999999</v>
      </c>
      <c r="E32" s="21" t="s">
        <v>33</v>
      </c>
      <c r="F32" s="9">
        <f>(J26/1-0.15)*1.21</f>
        <v>16079.2665</v>
      </c>
    </row>
    <row r="33" spans="3:6" x14ac:dyDescent="0.25">
      <c r="C33" s="20" t="s">
        <v>30</v>
      </c>
      <c r="D33" s="9">
        <f>(F27/1-0.15)*1.21</f>
        <v>12414.4185</v>
      </c>
      <c r="E33" s="21" t="s">
        <v>34</v>
      </c>
      <c r="F33" s="9">
        <f>(J27/1-0.15)*1.21</f>
        <v>13247.866499999998</v>
      </c>
    </row>
    <row r="34" spans="3:6" x14ac:dyDescent="0.25">
      <c r="C34" s="20" t="s">
        <v>31</v>
      </c>
      <c r="D34" s="9">
        <f>(F28/1-0.15)*1.21</f>
        <v>11180.218500000001</v>
      </c>
      <c r="E34" s="21" t="s">
        <v>35</v>
      </c>
      <c r="F34" s="9">
        <f>(J28/1-0.15)*1.21</f>
        <v>12013.666499999999</v>
      </c>
    </row>
  </sheetData>
  <mergeCells count="1">
    <mergeCell ref="C30:F30"/>
  </mergeCells>
  <dataValidations count="1">
    <dataValidation type="list" allowBlank="1" showInputMessage="1" showErrorMessage="1" sqref="F7" xr:uid="{D9A7ADE5-6B6D-468D-AF6C-B585814B567E}">
      <formula1>$I$4:$I$6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Alberti</dc:creator>
  <cp:lastModifiedBy>Adriano Alberti</cp:lastModifiedBy>
  <dcterms:created xsi:type="dcterms:W3CDTF">2026-01-15T11:35:52Z</dcterms:created>
  <dcterms:modified xsi:type="dcterms:W3CDTF">2026-01-15T16:23:48Z</dcterms:modified>
</cp:coreProperties>
</file>